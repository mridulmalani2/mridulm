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Summary" sheetId="1" state="visible" r:id="rId3"/>
    <sheet name="Pre-Post P&amp;L" sheetId="2" state="visible" r:id="rId4"/>
    <sheet name="Synergy Waterfall" sheetId="3" state="visible" r:id="rId5"/>
    <sheet name="Implied Multiples" sheetId="4" state="visible" r:id="rId6"/>
    <sheet name="Scenario Analysis" sheetId="5" state="visible" r:id="rId7"/>
    <sheet name="Playbook Com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<sst xmlns="http://schemas.openxmlformats.org/spreadsheetml/2006/main" count="193" uniqueCount="165">
  <si>
    <t xml:space="preserve">Broadcom Inc. Acquisition of VMware Inc.</t>
  </si>
  <si>
    <t xml:space="preserve">Transaction Summary</t>
  </si>
  <si>
    <t xml:space="preserve">March 2026</t>
  </si>
  <si>
    <t xml:space="preserve">Transaction Detail</t>
  </si>
  <si>
    <t xml:space="preserve">Value</t>
  </si>
  <si>
    <t xml:space="preserve">Unit</t>
  </si>
  <si>
    <t xml:space="preserve">Source / Notes</t>
  </si>
  <si>
    <t xml:space="preserve">Announcement Date</t>
  </si>
  <si>
    <t xml:space="preserve">May 26, 2022</t>
  </si>
  <si>
    <t xml:space="preserve">Close Date</t>
  </si>
  <si>
    <t xml:space="preserve">November 22, 2023</t>
  </si>
  <si>
    <t xml:space="preserve">Equity Value</t>
  </si>
  <si>
    <t xml:space="preserve">$mm</t>
  </si>
  <si>
    <t xml:space="preserve">Source: Broadcom 8-K, Nov 2023</t>
  </si>
  <si>
    <t xml:space="preserve">Assumed Debt</t>
  </si>
  <si>
    <t xml:space="preserve">Source: VMware 10-K, FY2023</t>
  </si>
  <si>
    <t xml:space="preserve">Total Enterprise Value</t>
  </si>
  <si>
    <t xml:space="preserve">Calculated: Equity + Debt</t>
  </si>
  <si>
    <t xml:space="preserve">Cash Per Share</t>
  </si>
  <si>
    <t xml:space="preserve">$/share</t>
  </si>
  <si>
    <t xml:space="preserve">Source: Merger Agreement</t>
  </si>
  <si>
    <t xml:space="preserve">Stock Exchange Ratio</t>
  </si>
  <si>
    <t xml:space="preserve">AVGO shares/VMware share</t>
  </si>
  <si>
    <t xml:space="preserve">VMware Pre-Deal Revenue (LTM)</t>
  </si>
  <si>
    <t xml:space="preserve">VMware Pre-Deal Operating Income</t>
  </si>
  <si>
    <t xml:space="preserve">VMware Pre-Deal Operating Margin</t>
  </si>
  <si>
    <t xml:space="preserve">%</t>
  </si>
  <si>
    <t xml:space="preserve">Calculated</t>
  </si>
  <si>
    <t xml:space="preserve">EV / Revenue (at close)</t>
  </si>
  <si>
    <t xml:space="preserve">x</t>
  </si>
  <si>
    <t xml:space="preserve">EV / Operating Income (at close)</t>
  </si>
  <si>
    <t xml:space="preserve">Non-Core Divestiture</t>
  </si>
  <si>
    <t xml:space="preserve">EUC Division Sale to KKR</t>
  </si>
  <si>
    <t xml:space="preserve">Source: Broadcom Press Release, Feb 2024</t>
  </si>
  <si>
    <t xml:space="preserve">Effective Net Acquisition Cost</t>
  </si>
  <si>
    <t xml:space="preserve">VMware / Infrastructure Software Segment</t>
  </si>
  <si>
    <t xml:space="preserve">Pre- and Post-Acquisition P&amp;L Comparison ($mm)</t>
  </si>
  <si>
    <t xml:space="preserve">Pre-Acq</t>
  </si>
  <si>
    <t xml:space="preserve">Post-Acq</t>
  </si>
  <si>
    <t xml:space="preserve">FY2022</t>
  </si>
  <si>
    <t xml:space="preserve">FY2023</t>
  </si>
  <si>
    <t xml:space="preserve">FY2024</t>
  </si>
  <si>
    <t xml:space="preserve">FY2025</t>
  </si>
  <si>
    <t xml:space="preserve">FY2026E</t>
  </si>
  <si>
    <t xml:space="preserve">Revenue</t>
  </si>
  <si>
    <t xml:space="preserve">Infrastructure Software Revenue</t>
  </si>
  <si>
    <t xml:space="preserve">  YoY Growth</t>
  </si>
  <si>
    <t xml:space="preserve">Operating Expenses</t>
  </si>
  <si>
    <t xml:space="preserve">Cost of Revenue</t>
  </si>
  <si>
    <t xml:space="preserve">R&amp;D</t>
  </si>
  <si>
    <t xml:space="preserve">SG&amp;A</t>
  </si>
  <si>
    <t xml:space="preserve">Restructuring &amp; Other</t>
  </si>
  <si>
    <t xml:space="preserve">Total Operating Expenses</t>
  </si>
  <si>
    <t xml:space="preserve">Operating Income</t>
  </si>
  <si>
    <t xml:space="preserve">  Operating Margin</t>
  </si>
  <si>
    <t xml:space="preserve">EBITDA (Estimated)</t>
  </si>
  <si>
    <t xml:space="preserve">D&amp;A (estimated)</t>
  </si>
  <si>
    <t xml:space="preserve">EBITDA</t>
  </si>
  <si>
    <t xml:space="preserve">  EBITDA Margin</t>
  </si>
  <si>
    <t xml:space="preserve">Value Creation Bridge: Pre- to Post-Acquisition</t>
  </si>
  <si>
    <t xml:space="preserve">Annualized Run-Rate ($mm)</t>
  </si>
  <si>
    <t xml:space="preserve">Category</t>
  </si>
  <si>
    <t xml:space="preserve">Amount ($mm)</t>
  </si>
  <si>
    <t xml:space="preserve">% of Pre-Acq Rev</t>
  </si>
  <si>
    <t xml:space="preserve">Notes</t>
  </si>
  <si>
    <t xml:space="preserve">VMware Pre-Acquisition Revenue (FY2023)</t>
  </si>
  <si>
    <t xml:space="preserve">VMware Pre-Acquisition Operating Income</t>
  </si>
  <si>
    <t xml:space="preserve">  Pre-Acquisition Operating Margin</t>
  </si>
  <si>
    <t xml:space="preserve">Revenue Synergies</t>
  </si>
  <si>
    <t xml:space="preserve">Subscription Conversion Uplift</t>
  </si>
  <si>
    <t xml:space="preserve">Perpetual-to-subscription repricing across installed base</t>
  </si>
  <si>
    <t xml:space="preserve">Portfolio Bundling (NSX, vSAN attach)</t>
  </si>
  <si>
    <t xml:space="preserve">Forced bundling increases effective ASP</t>
  </si>
  <si>
    <t xml:space="preserve">VCF Upsell to Top 10,000 Accounts</t>
  </si>
  <si>
    <t xml:space="preserve">Annual booking value $2.7B+ in Q4 FY2024</t>
  </si>
  <si>
    <t xml:space="preserve">Pricing Increases on Renewals</t>
  </si>
  <si>
    <t xml:space="preserve">Reported 800-1,500% increases (CISPE data)</t>
  </si>
  <si>
    <t xml:space="preserve">Channel Consolidation (enterprise focus)</t>
  </si>
  <si>
    <t xml:space="preserve">Mid-market/SMB revenue loss from partner cuts</t>
  </si>
  <si>
    <t xml:space="preserve">Net Revenue Synergies</t>
  </si>
  <si>
    <t xml:space="preserve">Cost Synergies (Annualized)</t>
  </si>
  <si>
    <t xml:space="preserve">Headcount Reduction (est. 50%+ of VMware)</t>
  </si>
  <si>
    <t xml:space="preserve">Largest single cost lever</t>
  </si>
  <si>
    <t xml:space="preserve">R&amp;D Rationalization (non-core products)</t>
  </si>
  <si>
    <t xml:space="preserve">Focus on VCF, vSphere core</t>
  </si>
  <si>
    <t xml:space="preserve">G&amp;A / Corporate Overhead Elimination</t>
  </si>
  <si>
    <t xml:space="preserve">Duplicate functions removed</t>
  </si>
  <si>
    <t xml:space="preserve">Go-to-Market Consolidation</t>
  </si>
  <si>
    <t xml:space="preserve">Channel/sales force restructuring</t>
  </si>
  <si>
    <t xml:space="preserve">Facilities &amp; Infrastructure</t>
  </si>
  <si>
    <t xml:space="preserve">Real estate, IT systems consolidation</t>
  </si>
  <si>
    <t xml:space="preserve">Total Cost Synergies</t>
  </si>
  <si>
    <t xml:space="preserve">Post-Acquisition Operating Profile (Run-Rate)</t>
  </si>
  <si>
    <t xml:space="preserve">Post-Acquisition Revenue</t>
  </si>
  <si>
    <t xml:space="preserve">Post-Acquisition Operating Income</t>
  </si>
  <si>
    <t xml:space="preserve">  Post-Acquisition Operating Margin</t>
  </si>
  <si>
    <t xml:space="preserve">  Margin Expansion (bps)</t>
  </si>
  <si>
    <t xml:space="preserve">Implied Acquisition Multiples</t>
  </si>
  <si>
    <t xml:space="preserve">Pre-Synergy vs. Post-Synergy Basis</t>
  </si>
  <si>
    <t xml:space="preserve">Metric</t>
  </si>
  <si>
    <t xml:space="preserve">Pre-Synergy</t>
  </si>
  <si>
    <t xml:space="preserve">Post-Synergy</t>
  </si>
  <si>
    <t xml:space="preserve">Enterprise Value ($mm)</t>
  </si>
  <si>
    <t xml:space="preserve">Post-synergy net of $4B EUC divestiture</t>
  </si>
  <si>
    <t xml:space="preserve">Revenue ($mm)</t>
  </si>
  <si>
    <t xml:space="preserve">Operating Income ($mm)</t>
  </si>
  <si>
    <t xml:space="preserve">Post-synergy: 77% margin on $27B rev</t>
  </si>
  <si>
    <t xml:space="preserve">EBITDA ($mm)</t>
  </si>
  <si>
    <t xml:space="preserve">Implied Multiples</t>
  </si>
  <si>
    <t xml:space="preserve">EV / Revenue</t>
  </si>
  <si>
    <t xml:space="preserve">EV / Operating Income</t>
  </si>
  <si>
    <t xml:space="preserve">EV / EBITDA</t>
  </si>
  <si>
    <t xml:space="preserve">Margin Profile</t>
  </si>
  <si>
    <t xml:space="preserve">Operating Margin</t>
  </si>
  <si>
    <t xml:space="preserve">EBITDA Margin</t>
  </si>
  <si>
    <t xml:space="preserve">Margin Expansion (bps)</t>
  </si>
  <si>
    <t xml:space="preserve">Operating margin expansion</t>
  </si>
  <si>
    <t xml:space="preserve">Scenario Analysis: Forward Outcomes (2028E)</t>
  </si>
  <si>
    <t xml:space="preserve">Infrastructure Software Segment ($mm)</t>
  </si>
  <si>
    <t xml:space="preserve">Bear Case</t>
  </si>
  <si>
    <t xml:space="preserve">Base Case</t>
  </si>
  <si>
    <t xml:space="preserve">Bull Case</t>
  </si>
  <si>
    <t xml:space="preserve">Key Assumptions</t>
  </si>
  <si>
    <t xml:space="preserve">Customer Retention Rate (% of pre-acq base)</t>
  </si>
  <si>
    <t xml:space="preserve">Revenue CAGR (FY2025-2028E)</t>
  </si>
  <si>
    <t xml:space="preserve">Operating Margin (2028E)</t>
  </si>
  <si>
    <t xml:space="preserve">EBITDA Margin (2028E)</t>
  </si>
  <si>
    <t xml:space="preserve">Projected Financials (2028E)</t>
  </si>
  <si>
    <t xml:space="preserve">FY2025 Revenue (Baseline)</t>
  </si>
  <si>
    <t xml:space="preserve">Projected Revenue (2028E)</t>
  </si>
  <si>
    <t xml:space="preserve">Projected Operating Income</t>
  </si>
  <si>
    <t xml:space="preserve">Projected EBITDA</t>
  </si>
  <si>
    <t xml:space="preserve">Implied Segment Valuation (2028E)</t>
  </si>
  <si>
    <t xml:space="preserve">Applied EV/EBITDA Multiple</t>
  </si>
  <si>
    <t xml:space="preserve">Implied Segment Enterprise Value ($mm)</t>
  </si>
  <si>
    <t xml:space="preserve">vs. Acquisition Cost ($69B)</t>
  </si>
  <si>
    <t xml:space="preserve">Return Metrics (5-Year: 2023-2028)</t>
  </si>
  <si>
    <t xml:space="preserve">Acquisition Cost ($mm)</t>
  </si>
  <si>
    <t xml:space="preserve">Cumulative FCF (5-yr est., $mm)</t>
  </si>
  <si>
    <t xml:space="preserve">Total Value Created (FCF + Terminal)</t>
  </si>
  <si>
    <t xml:space="preserve">MOIC (Multiple of Invested Capital)</t>
  </si>
  <si>
    <t xml:space="preserve">Implied IRR (5-year)</t>
  </si>
  <si>
    <t xml:space="preserve">Broadcom Acquisition Playbook: Historical Comparison</t>
  </si>
  <si>
    <t xml:space="preserve">CA Technologies</t>
  </si>
  <si>
    <t xml:space="preserve">Symantec Enterprise</t>
  </si>
  <si>
    <t xml:space="preserve">VMware</t>
  </si>
  <si>
    <t xml:space="preserve">Acquisition Year</t>
  </si>
  <si>
    <t xml:space="preserve">2018</t>
  </si>
  <si>
    <t xml:space="preserve">2019</t>
  </si>
  <si>
    <t xml:space="preserve">2023</t>
  </si>
  <si>
    <t xml:space="preserve">Pre-Acq Revenue ($mm)</t>
  </si>
  <si>
    <t xml:space="preserve">Pre-Acq Operating Margin</t>
  </si>
  <si>
    <t xml:space="preserve">Post-Acq Operating Margin (Target)</t>
  </si>
  <si>
    <t xml:space="preserve">Headcount Reduction (est.)</t>
  </si>
  <si>
    <t xml:space="preserve">~30-40%</t>
  </si>
  <si>
    <t xml:space="preserve">~50%+</t>
  </si>
  <si>
    <t xml:space="preserve">SKU Consolidation</t>
  </si>
  <si>
    <t xml:space="preserve">Significant</t>
  </si>
  <si>
    <t xml:space="preserve">8,000 to 4</t>
  </si>
  <si>
    <t xml:space="preserve">Perpetual to Subscription</t>
  </si>
  <si>
    <t xml:space="preserve">Yes</t>
  </si>
  <si>
    <t xml:space="preserve">Channel Restructuring</t>
  </si>
  <si>
    <t xml:space="preserve">Yes (aggressive)</t>
  </si>
  <si>
    <t xml:space="preserve">Time to Target Margins</t>
  </si>
  <si>
    <t xml:space="preserve">~12-18 months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</si>
</sst>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.00"/>
    <numFmt numFmtId="167" formatCode="0.0000"/>
    <numFmt numFmtId="168" formatCode="0.0%"/>
    <numFmt numFmtId="169" formatCode="0.0\x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6E4F0"/>
      </patternFill>
    </fill>
    <fill>
      <patternFill patternType="solid">
        <fgColor rgb="FFC6EFCE"/>
        <bgColor rgb="FFD6E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A6" s="4"/>
      <c r="B6" s="4" t="s">
        <v>3</v>
      </c>
      <c r="C6" s="4" t="s">
        <v>4</v>
      </c>
      <c r="D6" s="4" t="s">
        <v>5</v>
      </c>
      <c r="E6" s="4" t="s">
        <v>6</v>
      </c>
    </row>
    <row r="7" customFormat="false" ht="15" hidden="false" customHeight="false" outlineLevel="0" collapsed="false">
      <c r="B7" s="3" t="s">
        <v>7</v>
      </c>
      <c r="C7" s="5" t="s">
        <v>8</v>
      </c>
      <c r="D7" s="3"/>
      <c r="E7" s="6"/>
    </row>
    <row r="8" customFormat="false" ht="15" hidden="false" customHeight="false" outlineLevel="0" collapsed="false">
      <c r="B8" s="3" t="s">
        <v>9</v>
      </c>
      <c r="C8" s="5" t="s">
        <v>10</v>
      </c>
      <c r="D8" s="3"/>
      <c r="E8" s="6"/>
    </row>
    <row r="9" customFormat="false" ht="22.35" hidden="false" customHeight="false" outlineLevel="0" collapsed="false">
      <c r="B9" s="3" t="s">
        <v>11</v>
      </c>
      <c r="C9" s="7" t="n">
        <v>61000</v>
      </c>
      <c r="D9" s="3" t="s">
        <v>12</v>
      </c>
      <c r="E9" s="6" t="s">
        <v>13</v>
      </c>
    </row>
    <row r="10" customFormat="false" ht="22.35" hidden="false" customHeight="false" outlineLevel="0" collapsed="false">
      <c r="B10" s="3" t="s">
        <v>14</v>
      </c>
      <c r="C10" s="7" t="n">
        <v>8000</v>
      </c>
      <c r="D10" s="3" t="s">
        <v>12</v>
      </c>
      <c r="E10" s="6" t="s">
        <v>15</v>
      </c>
    </row>
    <row r="11" customFormat="false" ht="22.35" hidden="false" customHeight="false" outlineLevel="0" collapsed="false">
      <c r="B11" s="8" t="s">
        <v>16</v>
      </c>
      <c r="C11" s="9" t="n">
        <f aca="false">C9+C10</f>
        <v>69000</v>
      </c>
      <c r="D11" s="3" t="s">
        <v>12</v>
      </c>
      <c r="E11" s="6" t="s">
        <v>17</v>
      </c>
    </row>
    <row r="12" customFormat="false" ht="22.35" hidden="false" customHeight="false" outlineLevel="0" collapsed="false">
      <c r="B12" s="3" t="s">
        <v>18</v>
      </c>
      <c r="C12" s="10" t="n">
        <v>142.5</v>
      </c>
      <c r="D12" s="3" t="s">
        <v>19</v>
      </c>
      <c r="E12" s="6" t="s">
        <v>20</v>
      </c>
    </row>
    <row r="13" customFormat="false" ht="22.35" hidden="false" customHeight="false" outlineLevel="0" collapsed="false">
      <c r="B13" s="3" t="s">
        <v>21</v>
      </c>
      <c r="C13" s="11" t="n">
        <v>0.252</v>
      </c>
      <c r="D13" s="3" t="s">
        <v>22</v>
      </c>
      <c r="E13" s="6" t="s">
        <v>20</v>
      </c>
    </row>
    <row r="14" customFormat="false" ht="22.35" hidden="false" customHeight="false" outlineLevel="0" collapsed="false">
      <c r="B14" s="3" t="s">
        <v>23</v>
      </c>
      <c r="C14" s="7" t="n">
        <v>13350</v>
      </c>
      <c r="D14" s="3" t="s">
        <v>12</v>
      </c>
      <c r="E14" s="6" t="s">
        <v>15</v>
      </c>
    </row>
    <row r="15" customFormat="false" ht="22.35" hidden="false" customHeight="false" outlineLevel="0" collapsed="false">
      <c r="B15" s="3" t="s">
        <v>24</v>
      </c>
      <c r="C15" s="7" t="n">
        <v>2803</v>
      </c>
      <c r="D15" s="3" t="s">
        <v>12</v>
      </c>
      <c r="E15" s="6" t="s">
        <v>15</v>
      </c>
    </row>
    <row r="16" customFormat="false" ht="15" hidden="false" customHeight="false" outlineLevel="0" collapsed="false">
      <c r="B16" s="3" t="s">
        <v>25</v>
      </c>
      <c r="C16" s="12" t="n">
        <f aca="false">C15/C14</f>
        <v>0.209962546816479</v>
      </c>
      <c r="D16" s="3" t="s">
        <v>26</v>
      </c>
      <c r="E16" s="6" t="s">
        <v>27</v>
      </c>
    </row>
    <row r="17" customFormat="false" ht="15" hidden="false" customHeight="false" outlineLevel="0" collapsed="false">
      <c r="B17" s="3" t="s">
        <v>28</v>
      </c>
      <c r="C17" s="13" t="n">
        <f aca="false">C11/C14</f>
        <v>5.1685393258427</v>
      </c>
      <c r="D17" s="3" t="s">
        <v>29</v>
      </c>
      <c r="E17" s="6" t="s">
        <v>27</v>
      </c>
    </row>
    <row r="18" customFormat="false" ht="15" hidden="false" customHeight="false" outlineLevel="0" collapsed="false">
      <c r="B18" s="3" t="s">
        <v>30</v>
      </c>
      <c r="C18" s="14" t="n">
        <f aca="false">C11/C15</f>
        <v>24.6164823403496</v>
      </c>
      <c r="D18" s="3" t="s">
        <v>29</v>
      </c>
      <c r="E18" s="6" t="s">
        <v>27</v>
      </c>
    </row>
    <row r="20" customFormat="false" ht="15" hidden="false" customHeight="false" outlineLevel="0" collapsed="false">
      <c r="A20" s="15" t="s">
        <v>31</v>
      </c>
      <c r="B20" s="16"/>
      <c r="C20" s="16"/>
      <c r="D20" s="16"/>
      <c r="E20" s="16"/>
    </row>
    <row r="21" customFormat="false" ht="15" hidden="false" customHeight="false" outlineLevel="0" collapsed="false">
      <c r="B21" s="3" t="s">
        <v>32</v>
      </c>
      <c r="C21" s="7" t="n">
        <v>4000</v>
      </c>
      <c r="D21" s="3" t="s">
        <v>12</v>
      </c>
      <c r="E21" s="17" t="s">
        <v>33</v>
      </c>
    </row>
    <row r="22" customFormat="false" ht="15" hidden="false" customHeight="false" outlineLevel="0" collapsed="false">
      <c r="B22" s="8" t="s">
        <v>34</v>
      </c>
      <c r="C22" s="9" t="n">
        <f aca="false">C11-C21</f>
        <v>65000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8" min="3" style="0" width="16"/>
    <col collapsed="false" customWidth="true" hidden="false" outlineLevel="0" max="9" min="9" style="0" width="3"/>
  </cols>
  <sheetData>
    <row r="2" customFormat="false" ht="17.35" hidden="false" customHeight="false" outlineLevel="0" collapsed="false">
      <c r="B2" s="1" t="s">
        <v>35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36</v>
      </c>
    </row>
    <row r="5" customFormat="false" ht="15" hidden="false" customHeight="false" outlineLevel="0" collapsed="false">
      <c r="A5" s="4"/>
      <c r="B5" s="4"/>
      <c r="C5" s="4" t="s">
        <v>37</v>
      </c>
      <c r="D5" s="4" t="s">
        <v>37</v>
      </c>
      <c r="E5" s="4" t="s">
        <v>38</v>
      </c>
      <c r="F5" s="4" t="s">
        <v>38</v>
      </c>
      <c r="G5" s="4" t="s">
        <v>38</v>
      </c>
      <c r="H5" s="4"/>
    </row>
    <row r="6" customFormat="false" ht="15" hidden="false" customHeight="false" outlineLevel="0" collapsed="false">
      <c r="A6" s="4"/>
      <c r="B6" s="4"/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/>
    </row>
    <row r="7" customFormat="false" ht="15" hidden="false" customHeight="false" outlineLevel="0" collapsed="false">
      <c r="A7" s="15" t="s">
        <v>44</v>
      </c>
      <c r="B7" s="16"/>
      <c r="C7" s="16"/>
      <c r="D7" s="16"/>
      <c r="E7" s="16"/>
      <c r="F7" s="16"/>
      <c r="G7" s="16"/>
      <c r="H7" s="16"/>
    </row>
    <row r="8" customFormat="false" ht="15" hidden="false" customHeight="false" outlineLevel="0" collapsed="false">
      <c r="B8" s="3" t="s">
        <v>45</v>
      </c>
      <c r="C8" s="7" t="n">
        <v>5768</v>
      </c>
      <c r="D8" s="7" t="n">
        <v>5956</v>
      </c>
      <c r="E8" s="7" t="n">
        <v>21495</v>
      </c>
      <c r="F8" s="7" t="n">
        <v>27035</v>
      </c>
      <c r="G8" s="18" t="n">
        <f aca="false">F8*(1+G9)</f>
        <v>30279.2</v>
      </c>
    </row>
    <row r="9" customFormat="false" ht="15" hidden="false" customHeight="false" outlineLevel="0" collapsed="false">
      <c r="B9" s="3" t="s">
        <v>46</v>
      </c>
      <c r="D9" s="12" t="n">
        <f aca="false">(D8-C8)/C8</f>
        <v>0.0325936199722608</v>
      </c>
      <c r="E9" s="12" t="n">
        <f aca="false">(E8-D8)/D8</f>
        <v>2.60896574882471</v>
      </c>
      <c r="F9" s="12" t="n">
        <f aca="false">(F8-E8)/E8</f>
        <v>0.257734356827169</v>
      </c>
      <c r="G9" s="19" t="n">
        <v>0.12</v>
      </c>
    </row>
    <row r="11" customFormat="false" ht="15" hidden="false" customHeight="false" outlineLevel="0" collapsed="false">
      <c r="A11" s="15" t="s">
        <v>47</v>
      </c>
      <c r="B11" s="16"/>
      <c r="C11" s="16"/>
      <c r="D11" s="16"/>
      <c r="E11" s="16"/>
      <c r="F11" s="16"/>
      <c r="G11" s="16"/>
      <c r="H11" s="16"/>
    </row>
    <row r="12" customFormat="false" ht="15" hidden="false" customHeight="false" outlineLevel="0" collapsed="false">
      <c r="B12" s="3" t="s">
        <v>48</v>
      </c>
      <c r="C12" s="7" t="n">
        <v>1956</v>
      </c>
      <c r="D12" s="7" t="n">
        <v>1853</v>
      </c>
      <c r="E12" s="7" t="n">
        <v>4094</v>
      </c>
      <c r="F12" s="7" t="n">
        <v>4596</v>
      </c>
      <c r="G12" s="18" t="n">
        <f aca="false">ROUND(G8*0.155,0)</f>
        <v>4693</v>
      </c>
    </row>
    <row r="13" customFormat="false" ht="15" hidden="false" customHeight="false" outlineLevel="0" collapsed="false">
      <c r="B13" s="3" t="s">
        <v>49</v>
      </c>
      <c r="C13" s="7" t="n">
        <v>1876</v>
      </c>
      <c r="D13" s="7" t="n">
        <v>1987</v>
      </c>
      <c r="E13" s="7" t="n">
        <v>3200</v>
      </c>
      <c r="F13" s="7" t="n">
        <v>2800</v>
      </c>
      <c r="G13" s="18" t="n">
        <f aca="false">ROUND(G8*0.085,0)</f>
        <v>2574</v>
      </c>
    </row>
    <row r="14" customFormat="false" ht="15" hidden="false" customHeight="false" outlineLevel="0" collapsed="false">
      <c r="B14" s="3" t="s">
        <v>50</v>
      </c>
      <c r="C14" s="7" t="n">
        <v>1458</v>
      </c>
      <c r="D14" s="7" t="n">
        <v>1510</v>
      </c>
      <c r="E14" s="7" t="n">
        <v>2200</v>
      </c>
      <c r="F14" s="7" t="n">
        <v>1900</v>
      </c>
      <c r="G14" s="18" t="n">
        <f aca="false">ROUND(G8*0.06,0)</f>
        <v>1817</v>
      </c>
    </row>
    <row r="15" customFormat="false" ht="15" hidden="false" customHeight="false" outlineLevel="0" collapsed="false">
      <c r="B15" s="3" t="s">
        <v>51</v>
      </c>
      <c r="C15" s="7" t="n">
        <v>78</v>
      </c>
      <c r="D15" s="7" t="n">
        <v>103</v>
      </c>
      <c r="E15" s="7" t="n">
        <v>800</v>
      </c>
      <c r="F15" s="7" t="n">
        <v>300</v>
      </c>
      <c r="G15" s="18" t="n">
        <f aca="false">ROUND(G8*0.01,0)</f>
        <v>303</v>
      </c>
    </row>
    <row r="16" customFormat="false" ht="15" hidden="false" customHeight="false" outlineLevel="0" collapsed="false">
      <c r="B16" s="8" t="s">
        <v>52</v>
      </c>
      <c r="C16" s="20" t="n">
        <f aca="false">SUM(C12:C15)</f>
        <v>5368</v>
      </c>
      <c r="D16" s="20" t="n">
        <f aca="false">SUM(D12:D15)</f>
        <v>5453</v>
      </c>
      <c r="E16" s="20" t="n">
        <f aca="false">SUM(E12:E15)</f>
        <v>10294</v>
      </c>
      <c r="F16" s="20" t="n">
        <f aca="false">SUM(F12:F15)</f>
        <v>9596</v>
      </c>
      <c r="G16" s="20" t="n">
        <f aca="false">SUM(G12:G15)</f>
        <v>9387</v>
      </c>
    </row>
    <row r="17" customFormat="false" ht="15" hidden="false" customHeight="false" outlineLevel="0" collapsed="false">
      <c r="B17" s="8" t="s">
        <v>53</v>
      </c>
      <c r="C17" s="9" t="n">
        <f aca="false">C8-C16</f>
        <v>400</v>
      </c>
      <c r="D17" s="9" t="n">
        <f aca="false">D8-D16</f>
        <v>503</v>
      </c>
      <c r="E17" s="9" t="n">
        <f aca="false">E8-E16</f>
        <v>11201</v>
      </c>
      <c r="F17" s="9" t="n">
        <f aca="false">F8-F16</f>
        <v>17439</v>
      </c>
      <c r="G17" s="9" t="n">
        <f aca="false">G8-G16</f>
        <v>20892.2</v>
      </c>
    </row>
    <row r="18" customFormat="false" ht="15" hidden="false" customHeight="false" outlineLevel="0" collapsed="false">
      <c r="B18" s="3" t="s">
        <v>54</v>
      </c>
      <c r="C18" s="12" t="n">
        <f aca="false">C17/C8</f>
        <v>0.0693481276005548</v>
      </c>
      <c r="D18" s="12" t="n">
        <f aca="false">D17/D8</f>
        <v>0.0844526527871054</v>
      </c>
      <c r="E18" s="12" t="n">
        <f aca="false">E17/E8</f>
        <v>0.521097929751105</v>
      </c>
      <c r="F18" s="12" t="n">
        <f aca="false">F17/F8</f>
        <v>0.645052709450712</v>
      </c>
      <c r="G18" s="12" t="n">
        <f aca="false">G17/G8</f>
        <v>0.689985204364712</v>
      </c>
    </row>
    <row r="20" customFormat="false" ht="15" hidden="false" customHeight="false" outlineLevel="0" collapsed="false">
      <c r="A20" s="15" t="s">
        <v>55</v>
      </c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B21" s="3" t="s">
        <v>56</v>
      </c>
      <c r="C21" s="7" t="n">
        <v>800</v>
      </c>
      <c r="D21" s="7" t="n">
        <v>850</v>
      </c>
      <c r="E21" s="7" t="n">
        <v>3500</v>
      </c>
      <c r="F21" s="7" t="n">
        <v>4000</v>
      </c>
      <c r="G21" s="21" t="n">
        <v>4200</v>
      </c>
    </row>
    <row r="22" customFormat="false" ht="15" hidden="false" customHeight="false" outlineLevel="0" collapsed="false">
      <c r="B22" s="8" t="s">
        <v>57</v>
      </c>
      <c r="C22" s="9" t="n">
        <f aca="false">C17+C21</f>
        <v>1200</v>
      </c>
      <c r="D22" s="9" t="n">
        <f aca="false">D17+D21</f>
        <v>1353</v>
      </c>
      <c r="E22" s="9" t="n">
        <f aca="false">E17+E21</f>
        <v>14701</v>
      </c>
      <c r="F22" s="9" t="n">
        <f aca="false">F17+F21</f>
        <v>21439</v>
      </c>
      <c r="G22" s="9" t="n">
        <f aca="false">G17+G21</f>
        <v>25092.2</v>
      </c>
    </row>
    <row r="23" customFormat="false" ht="15" hidden="false" customHeight="false" outlineLevel="0" collapsed="false">
      <c r="B23" s="3" t="s">
        <v>58</v>
      </c>
      <c r="C23" s="12" t="n">
        <f aca="false">C22/C8</f>
        <v>0.208044382801664</v>
      </c>
      <c r="D23" s="12" t="n">
        <f aca="false">D22/D8</f>
        <v>0.227165883143049</v>
      </c>
      <c r="E23" s="12" t="n">
        <f aca="false">E22/E8</f>
        <v>0.683926494533612</v>
      </c>
      <c r="F23" s="12" t="n">
        <f aca="false">F22/F8</f>
        <v>0.793009062326614</v>
      </c>
      <c r="G23" s="12" t="n">
        <f aca="false">G22/G8</f>
        <v>0.82869428518587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7.35" hidden="false" customHeight="false" outlineLevel="0" collapsed="false">
      <c r="B2" s="1" t="s">
        <v>59</v>
      </c>
      <c r="C2" s="1"/>
      <c r="D2" s="1"/>
      <c r="E2" s="1"/>
    </row>
    <row r="3" customFormat="false" ht="15" hidden="false" customHeight="false" outlineLevel="0" collapsed="false">
      <c r="B3" s="2" t="s">
        <v>60</v>
      </c>
    </row>
    <row r="5" customFormat="false" ht="15" hidden="false" customHeight="false" outlineLevel="0" collapsed="false">
      <c r="A5" s="4"/>
      <c r="B5" s="4" t="s">
        <v>61</v>
      </c>
      <c r="C5" s="4" t="s">
        <v>62</v>
      </c>
      <c r="D5" s="4" t="s">
        <v>63</v>
      </c>
      <c r="E5" s="4" t="s">
        <v>64</v>
      </c>
    </row>
    <row r="6" customFormat="false" ht="15" hidden="false" customHeight="false" outlineLevel="0" collapsed="false">
      <c r="B6" s="8" t="s">
        <v>65</v>
      </c>
      <c r="C6" s="7" t="n">
        <v>13350</v>
      </c>
    </row>
    <row r="7" customFormat="false" ht="15" hidden="false" customHeight="false" outlineLevel="0" collapsed="false">
      <c r="B7" s="8" t="s">
        <v>66</v>
      </c>
      <c r="C7" s="7" t="n">
        <v>2803</v>
      </c>
    </row>
    <row r="8" customFormat="false" ht="15" hidden="false" customHeight="false" outlineLevel="0" collapsed="false">
      <c r="B8" s="3" t="s">
        <v>67</v>
      </c>
      <c r="C8" s="12" t="n">
        <f aca="false">C7/C6</f>
        <v>0.209962546816479</v>
      </c>
    </row>
    <row r="10" customFormat="false" ht="15" hidden="false" customHeight="false" outlineLevel="0" collapsed="false">
      <c r="A10" s="15" t="s">
        <v>68</v>
      </c>
      <c r="B10" s="16"/>
      <c r="C10" s="16"/>
      <c r="D10" s="16"/>
      <c r="E10" s="16"/>
    </row>
    <row r="11" customFormat="false" ht="32.8" hidden="false" customHeight="false" outlineLevel="0" collapsed="false">
      <c r="B11" s="3" t="s">
        <v>69</v>
      </c>
      <c r="C11" s="7" t="n">
        <v>5500</v>
      </c>
      <c r="D11" s="12" t="n">
        <f aca="false">C11/C6</f>
        <v>0.411985018726592</v>
      </c>
      <c r="E11" s="6" t="s">
        <v>70</v>
      </c>
    </row>
    <row r="12" customFormat="false" ht="32.8" hidden="false" customHeight="false" outlineLevel="0" collapsed="false">
      <c r="B12" s="3" t="s">
        <v>71</v>
      </c>
      <c r="C12" s="7" t="n">
        <v>3200</v>
      </c>
      <c r="D12" s="12" t="n">
        <f aca="false">C12/C6</f>
        <v>0.239700374531835</v>
      </c>
      <c r="E12" s="6" t="s">
        <v>72</v>
      </c>
    </row>
    <row r="13" customFormat="false" ht="22.35" hidden="false" customHeight="false" outlineLevel="0" collapsed="false">
      <c r="B13" s="3" t="s">
        <v>73</v>
      </c>
      <c r="C13" s="7" t="n">
        <v>2800</v>
      </c>
      <c r="D13" s="12" t="n">
        <f aca="false">C13/C6</f>
        <v>0.209737827715356</v>
      </c>
      <c r="E13" s="6" t="s">
        <v>74</v>
      </c>
    </row>
    <row r="14" customFormat="false" ht="22.35" hidden="false" customHeight="false" outlineLevel="0" collapsed="false">
      <c r="B14" s="3" t="s">
        <v>75</v>
      </c>
      <c r="C14" s="7" t="n">
        <v>4500</v>
      </c>
      <c r="D14" s="12" t="n">
        <f aca="false">C14/C6</f>
        <v>0.337078651685393</v>
      </c>
      <c r="E14" s="6" t="s">
        <v>76</v>
      </c>
    </row>
    <row r="15" customFormat="false" ht="32.8" hidden="false" customHeight="false" outlineLevel="0" collapsed="false">
      <c r="B15" s="3" t="s">
        <v>77</v>
      </c>
      <c r="C15" s="7" t="n">
        <v>1200</v>
      </c>
      <c r="D15" s="12" t="n">
        <f aca="false">C15/C6</f>
        <v>0.0898876404494382</v>
      </c>
      <c r="E15" s="6" t="s">
        <v>78</v>
      </c>
    </row>
    <row r="16" customFormat="false" ht="15" hidden="false" customHeight="false" outlineLevel="0" collapsed="false">
      <c r="B16" s="8" t="s">
        <v>79</v>
      </c>
      <c r="C16" s="20" t="n">
        <f aca="false">SUM(C11:C15)</f>
        <v>17200</v>
      </c>
      <c r="D16" s="12" t="n">
        <f aca="false">C16/C6</f>
        <v>1.28838951310861</v>
      </c>
    </row>
    <row r="18" customFormat="false" ht="15" hidden="false" customHeight="false" outlineLevel="0" collapsed="false">
      <c r="A18" s="15" t="s">
        <v>80</v>
      </c>
      <c r="B18" s="16"/>
      <c r="C18" s="16"/>
      <c r="D18" s="16"/>
      <c r="E18" s="16"/>
    </row>
    <row r="19" customFormat="false" ht="22.35" hidden="false" customHeight="false" outlineLevel="0" collapsed="false">
      <c r="B19" s="3" t="s">
        <v>81</v>
      </c>
      <c r="C19" s="7" t="n">
        <v>4800</v>
      </c>
      <c r="D19" s="12" t="n">
        <f aca="false">C19/C6</f>
        <v>0.359550561797753</v>
      </c>
      <c r="E19" s="6" t="s">
        <v>82</v>
      </c>
    </row>
    <row r="20" customFormat="false" ht="22.35" hidden="false" customHeight="false" outlineLevel="0" collapsed="false">
      <c r="B20" s="3" t="s">
        <v>83</v>
      </c>
      <c r="C20" s="7" t="n">
        <v>1500</v>
      </c>
      <c r="D20" s="12" t="n">
        <f aca="false">C20/C6</f>
        <v>0.112359550561798</v>
      </c>
      <c r="E20" s="6" t="s">
        <v>84</v>
      </c>
    </row>
    <row r="21" customFormat="false" ht="22.35" hidden="false" customHeight="false" outlineLevel="0" collapsed="false">
      <c r="B21" s="3" t="s">
        <v>85</v>
      </c>
      <c r="C21" s="7" t="n">
        <v>1200</v>
      </c>
      <c r="D21" s="12" t="n">
        <f aca="false">C21/C6</f>
        <v>0.0898876404494382</v>
      </c>
      <c r="E21" s="6" t="s">
        <v>86</v>
      </c>
    </row>
    <row r="22" customFormat="false" ht="22.35" hidden="false" customHeight="false" outlineLevel="0" collapsed="false">
      <c r="B22" s="3" t="s">
        <v>87</v>
      </c>
      <c r="C22" s="7" t="n">
        <v>800</v>
      </c>
      <c r="D22" s="12" t="n">
        <f aca="false">C22/C6</f>
        <v>0.0599250936329588</v>
      </c>
      <c r="E22" s="6" t="s">
        <v>88</v>
      </c>
    </row>
    <row r="23" customFormat="false" ht="22.35" hidden="false" customHeight="false" outlineLevel="0" collapsed="false">
      <c r="B23" s="3" t="s">
        <v>89</v>
      </c>
      <c r="C23" s="7" t="n">
        <v>400</v>
      </c>
      <c r="D23" s="12" t="n">
        <f aca="false">C23/C6</f>
        <v>0.0299625468164794</v>
      </c>
      <c r="E23" s="6" t="s">
        <v>90</v>
      </c>
    </row>
    <row r="24" customFormat="false" ht="15" hidden="false" customHeight="false" outlineLevel="0" collapsed="false">
      <c r="B24" s="8" t="s">
        <v>91</v>
      </c>
      <c r="C24" s="20" t="n">
        <f aca="false">SUM(C19:C23)</f>
        <v>8700</v>
      </c>
      <c r="D24" s="12" t="n">
        <f aca="false">C24/C6</f>
        <v>0.651685393258427</v>
      </c>
    </row>
    <row r="26" customFormat="false" ht="15" hidden="false" customHeight="false" outlineLevel="0" collapsed="false">
      <c r="A26" s="15" t="s">
        <v>92</v>
      </c>
      <c r="B26" s="16"/>
      <c r="C26" s="16"/>
      <c r="D26" s="16"/>
      <c r="E26" s="16"/>
    </row>
    <row r="27" customFormat="false" ht="15" hidden="false" customHeight="false" outlineLevel="0" collapsed="false">
      <c r="B27" s="8" t="s">
        <v>93</v>
      </c>
      <c r="C27" s="18" t="n">
        <f aca="false">C6+C16</f>
        <v>30550</v>
      </c>
    </row>
    <row r="28" customFormat="false" ht="15" hidden="false" customHeight="false" outlineLevel="0" collapsed="false">
      <c r="B28" s="8" t="s">
        <v>94</v>
      </c>
      <c r="C28" s="9" t="n">
        <f aca="false">C7+C16+C24</f>
        <v>28703</v>
      </c>
    </row>
    <row r="29" customFormat="false" ht="15" hidden="false" customHeight="false" outlineLevel="0" collapsed="false">
      <c r="B29" s="3" t="s">
        <v>95</v>
      </c>
      <c r="C29" s="12" t="n">
        <f aca="false">C28/C27</f>
        <v>0.939541734860884</v>
      </c>
    </row>
    <row r="30" customFormat="false" ht="15" hidden="false" customHeight="false" outlineLevel="0" collapsed="false">
      <c r="B30" s="3" t="s">
        <v>96</v>
      </c>
      <c r="C30" s="22" t="n">
        <f aca="false">(C29-C8)*10000</f>
        <v>7295.79188044404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7.35" hidden="false" customHeight="false" outlineLevel="0" collapsed="false">
      <c r="B2" s="1" t="s">
        <v>97</v>
      </c>
      <c r="C2" s="1"/>
      <c r="D2" s="1"/>
      <c r="E2" s="1"/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A5" s="4"/>
      <c r="B5" s="4" t="s">
        <v>99</v>
      </c>
      <c r="C5" s="4" t="s">
        <v>100</v>
      </c>
      <c r="D5" s="4" t="s">
        <v>101</v>
      </c>
      <c r="E5" s="4" t="s">
        <v>64</v>
      </c>
    </row>
    <row r="6" customFormat="false" ht="15" hidden="false" customHeight="false" outlineLevel="0" collapsed="false">
      <c r="B6" s="8" t="s">
        <v>102</v>
      </c>
      <c r="C6" s="7" t="n">
        <v>69000</v>
      </c>
      <c r="D6" s="7" t="n">
        <v>65000</v>
      </c>
      <c r="E6" s="17" t="s">
        <v>103</v>
      </c>
    </row>
    <row r="7" customFormat="false" ht="15" hidden="false" customHeight="false" outlineLevel="0" collapsed="false">
      <c r="B7" s="3" t="s">
        <v>104</v>
      </c>
      <c r="C7" s="7" t="n">
        <v>13350</v>
      </c>
      <c r="D7" s="7" t="n">
        <v>27035</v>
      </c>
    </row>
    <row r="8" customFormat="false" ht="15" hidden="false" customHeight="false" outlineLevel="0" collapsed="false">
      <c r="B8" s="3" t="s">
        <v>105</v>
      </c>
      <c r="C8" s="7" t="n">
        <v>2803</v>
      </c>
      <c r="D8" s="7" t="n">
        <v>20817</v>
      </c>
      <c r="E8" s="17" t="s">
        <v>106</v>
      </c>
    </row>
    <row r="9" customFormat="false" ht="15" hidden="false" customHeight="false" outlineLevel="0" collapsed="false">
      <c r="B9" s="3" t="s">
        <v>107</v>
      </c>
      <c r="C9" s="7" t="n">
        <v>3653</v>
      </c>
      <c r="D9" s="7" t="n">
        <v>24817</v>
      </c>
    </row>
    <row r="11" customFormat="false" ht="15" hidden="false" customHeight="false" outlineLevel="0" collapsed="false">
      <c r="A11" s="15" t="s">
        <v>108</v>
      </c>
      <c r="B11" s="16"/>
      <c r="C11" s="16"/>
      <c r="D11" s="16"/>
      <c r="E11" s="16"/>
    </row>
    <row r="12" customFormat="false" ht="15" hidden="false" customHeight="false" outlineLevel="0" collapsed="false">
      <c r="B12" s="3" t="s">
        <v>109</v>
      </c>
      <c r="C12" s="13" t="n">
        <f aca="false">C6/C7</f>
        <v>5.1685393258427</v>
      </c>
      <c r="D12" s="13" t="n">
        <f aca="false">D6/D7</f>
        <v>2.4042907342334</v>
      </c>
    </row>
    <row r="13" customFormat="false" ht="15" hidden="false" customHeight="false" outlineLevel="0" collapsed="false">
      <c r="B13" s="3" t="s">
        <v>110</v>
      </c>
      <c r="C13" s="13" t="n">
        <f aca="false">C6/C8</f>
        <v>24.6164823403496</v>
      </c>
      <c r="D13" s="13" t="n">
        <f aca="false">D6/D8</f>
        <v>3.1224479992314</v>
      </c>
    </row>
    <row r="14" customFormat="false" ht="15" hidden="false" customHeight="false" outlineLevel="0" collapsed="false">
      <c r="B14" s="3" t="s">
        <v>111</v>
      </c>
      <c r="C14" s="13" t="n">
        <f aca="false">C6/C9</f>
        <v>18.8885847248837</v>
      </c>
      <c r="D14" s="13" t="n">
        <f aca="false">D6/D9</f>
        <v>2.61917234154007</v>
      </c>
    </row>
    <row r="16" customFormat="false" ht="15" hidden="false" customHeight="false" outlineLevel="0" collapsed="false">
      <c r="A16" s="15" t="s">
        <v>112</v>
      </c>
      <c r="B16" s="16"/>
      <c r="C16" s="16"/>
      <c r="D16" s="16"/>
      <c r="E16" s="16"/>
    </row>
    <row r="17" customFormat="false" ht="15" hidden="false" customHeight="false" outlineLevel="0" collapsed="false">
      <c r="B17" s="3" t="s">
        <v>113</v>
      </c>
      <c r="C17" s="12" t="n">
        <f aca="false">C8/C7</f>
        <v>0.209962546816479</v>
      </c>
      <c r="D17" s="12" t="n">
        <f aca="false">D8/D7</f>
        <v>0.770001849454411</v>
      </c>
    </row>
    <row r="18" customFormat="false" ht="15" hidden="false" customHeight="false" outlineLevel="0" collapsed="false">
      <c r="B18" s="3" t="s">
        <v>114</v>
      </c>
      <c r="C18" s="12" t="n">
        <f aca="false">C9/C7</f>
        <v>0.273632958801498</v>
      </c>
      <c r="D18" s="12" t="n">
        <f aca="false">D9/D7</f>
        <v>0.917958202330313</v>
      </c>
    </row>
    <row r="19" customFormat="false" ht="15" hidden="false" customHeight="false" outlineLevel="0" collapsed="false">
      <c r="B19" s="8" t="s">
        <v>115</v>
      </c>
      <c r="C19" s="22" t="n">
        <f aca="false">(D17-C17)*10000</f>
        <v>5600.39302637932</v>
      </c>
      <c r="E19" s="17" t="s">
        <v>116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7.35" hidden="false" customHeight="false" outlineLevel="0" collapsed="false">
      <c r="B2" s="1" t="s">
        <v>117</v>
      </c>
      <c r="C2" s="1"/>
      <c r="D2" s="1"/>
      <c r="E2" s="1"/>
    </row>
    <row r="3" customFormat="false" ht="15" hidden="false" customHeight="false" outlineLevel="0" collapsed="false">
      <c r="B3" s="2" t="s">
        <v>118</v>
      </c>
    </row>
    <row r="5" customFormat="false" ht="15" hidden="false" customHeight="false" outlineLevel="0" collapsed="false">
      <c r="A5" s="4"/>
      <c r="B5" s="4" t="s">
        <v>99</v>
      </c>
      <c r="C5" s="4" t="s">
        <v>119</v>
      </c>
      <c r="D5" s="4" t="s">
        <v>120</v>
      </c>
      <c r="E5" s="4" t="s">
        <v>121</v>
      </c>
    </row>
    <row r="6" customFormat="false" ht="15" hidden="false" customHeight="false" outlineLevel="0" collapsed="false">
      <c r="A6" s="15" t="s">
        <v>122</v>
      </c>
      <c r="B6" s="16"/>
      <c r="C6" s="16"/>
      <c r="D6" s="16"/>
      <c r="E6" s="16"/>
    </row>
    <row r="7" customFormat="false" ht="15" hidden="false" customHeight="false" outlineLevel="0" collapsed="false">
      <c r="B7" s="3" t="s">
        <v>123</v>
      </c>
      <c r="C7" s="19" t="n">
        <v>0.55</v>
      </c>
      <c r="D7" s="19" t="n">
        <v>0.725</v>
      </c>
      <c r="E7" s="19" t="n">
        <v>0.85</v>
      </c>
    </row>
    <row r="8" customFormat="false" ht="15" hidden="false" customHeight="false" outlineLevel="0" collapsed="false">
      <c r="B8" s="3" t="s">
        <v>124</v>
      </c>
      <c r="C8" s="19" t="n">
        <v>-0.06</v>
      </c>
      <c r="D8" s="19" t="n">
        <v>0.02</v>
      </c>
      <c r="E8" s="19" t="n">
        <v>0.08</v>
      </c>
    </row>
    <row r="9" customFormat="false" ht="15" hidden="false" customHeight="false" outlineLevel="0" collapsed="false">
      <c r="B9" s="3" t="s">
        <v>125</v>
      </c>
      <c r="C9" s="19" t="n">
        <v>0.55</v>
      </c>
      <c r="D9" s="19" t="n">
        <v>0.72</v>
      </c>
      <c r="E9" s="19" t="n">
        <v>0.77</v>
      </c>
    </row>
    <row r="10" customFormat="false" ht="15" hidden="false" customHeight="false" outlineLevel="0" collapsed="false">
      <c r="B10" s="3" t="s">
        <v>126</v>
      </c>
      <c r="C10" s="19" t="n">
        <v>0.62</v>
      </c>
      <c r="D10" s="19" t="n">
        <v>0.78</v>
      </c>
      <c r="E10" s="19" t="n">
        <v>0.83</v>
      </c>
    </row>
    <row r="12" customFormat="false" ht="15" hidden="false" customHeight="false" outlineLevel="0" collapsed="false">
      <c r="A12" s="15" t="s">
        <v>127</v>
      </c>
      <c r="B12" s="16"/>
      <c r="C12" s="16"/>
      <c r="D12" s="16"/>
      <c r="E12" s="16"/>
    </row>
    <row r="13" customFormat="false" ht="15" hidden="false" customHeight="false" outlineLevel="0" collapsed="false">
      <c r="B13" s="3" t="s">
        <v>128</v>
      </c>
      <c r="C13" s="7" t="n">
        <v>27035</v>
      </c>
      <c r="D13" s="7" t="n">
        <v>27035</v>
      </c>
      <c r="E13" s="7" t="n">
        <v>27035</v>
      </c>
    </row>
    <row r="14" customFormat="false" ht="15" hidden="false" customHeight="false" outlineLevel="0" collapsed="false">
      <c r="B14" s="8" t="s">
        <v>129</v>
      </c>
      <c r="C14" s="20" t="n">
        <f aca="false">C13*(1+C8)^3</f>
        <v>22454.83844</v>
      </c>
      <c r="D14" s="20" t="n">
        <f aca="false">D13*(1+D8)^3</f>
        <v>28689.75828</v>
      </c>
      <c r="E14" s="20" t="n">
        <f aca="false">E13*(1+E8)^3</f>
        <v>34056.31392</v>
      </c>
    </row>
    <row r="15" customFormat="false" ht="15" hidden="false" customHeight="false" outlineLevel="0" collapsed="false">
      <c r="B15" s="8" t="s">
        <v>130</v>
      </c>
      <c r="C15" s="18" t="n">
        <f aca="false">C14*C9</f>
        <v>12350.161142</v>
      </c>
      <c r="D15" s="18" t="n">
        <f aca="false">D14*D9</f>
        <v>20656.6259616</v>
      </c>
      <c r="E15" s="18" t="n">
        <f aca="false">E14*E9</f>
        <v>26223.3617184</v>
      </c>
    </row>
    <row r="16" customFormat="false" ht="15" hidden="false" customHeight="false" outlineLevel="0" collapsed="false">
      <c r="B16" s="8" t="s">
        <v>131</v>
      </c>
      <c r="C16" s="9" t="n">
        <f aca="false">C14*C10</f>
        <v>13921.9998328</v>
      </c>
      <c r="D16" s="9" t="n">
        <f aca="false">D14*D10</f>
        <v>22378.0114584</v>
      </c>
      <c r="E16" s="9" t="n">
        <f aca="false">E14*E10</f>
        <v>28266.7405536</v>
      </c>
    </row>
    <row r="18" customFormat="false" ht="15" hidden="false" customHeight="false" outlineLevel="0" collapsed="false">
      <c r="A18" s="15" t="s">
        <v>132</v>
      </c>
      <c r="B18" s="16"/>
      <c r="C18" s="16"/>
      <c r="D18" s="16"/>
      <c r="E18" s="16"/>
    </row>
    <row r="19" customFormat="false" ht="15" hidden="false" customHeight="false" outlineLevel="0" collapsed="false">
      <c r="B19" s="3" t="s">
        <v>133</v>
      </c>
      <c r="C19" s="23" t="n">
        <v>12</v>
      </c>
      <c r="D19" s="23" t="n">
        <v>16</v>
      </c>
      <c r="E19" s="23" t="n">
        <v>22</v>
      </c>
    </row>
    <row r="20" customFormat="false" ht="15" hidden="false" customHeight="false" outlineLevel="0" collapsed="false">
      <c r="B20" s="8" t="s">
        <v>134</v>
      </c>
      <c r="C20" s="9" t="n">
        <f aca="false">C16*C19</f>
        <v>167063.9979936</v>
      </c>
      <c r="D20" s="9" t="n">
        <f aca="false">D16*D19</f>
        <v>358048.1833344</v>
      </c>
      <c r="E20" s="9" t="n">
        <f aca="false">E16*E19</f>
        <v>621868.2921792</v>
      </c>
    </row>
    <row r="21" customFormat="false" ht="15" hidden="false" customHeight="false" outlineLevel="0" collapsed="false">
      <c r="B21" s="3" t="s">
        <v>135</v>
      </c>
      <c r="C21" s="12" t="n">
        <f aca="false">C20/69000-1</f>
        <v>1.42121736222609</v>
      </c>
      <c r="D21" s="12" t="n">
        <f aca="false">D20/69000-1</f>
        <v>4.18910410629565</v>
      </c>
      <c r="E21" s="12" t="n">
        <f aca="false">E20/69000-1</f>
        <v>8.01258394462609</v>
      </c>
    </row>
    <row r="23" customFormat="false" ht="15" hidden="false" customHeight="false" outlineLevel="0" collapsed="false">
      <c r="A23" s="15" t="s">
        <v>136</v>
      </c>
      <c r="B23" s="16"/>
      <c r="C23" s="16"/>
      <c r="D23" s="16"/>
      <c r="E23" s="16"/>
    </row>
    <row r="24" customFormat="false" ht="15" hidden="false" customHeight="false" outlineLevel="0" collapsed="false">
      <c r="B24" s="3" t="s">
        <v>137</v>
      </c>
      <c r="C24" s="7" t="n">
        <v>69000</v>
      </c>
      <c r="D24" s="7" t="n">
        <v>69000</v>
      </c>
      <c r="E24" s="7" t="n">
        <v>69000</v>
      </c>
    </row>
    <row r="25" customFormat="false" ht="15" hidden="false" customHeight="false" outlineLevel="0" collapsed="false">
      <c r="B25" s="3" t="s">
        <v>138</v>
      </c>
      <c r="C25" s="21" t="n">
        <v>55000</v>
      </c>
      <c r="D25" s="21" t="n">
        <v>75000</v>
      </c>
      <c r="E25" s="21" t="n">
        <v>95000</v>
      </c>
    </row>
    <row r="26" customFormat="false" ht="15" hidden="false" customHeight="false" outlineLevel="0" collapsed="false">
      <c r="B26" s="8" t="s">
        <v>139</v>
      </c>
      <c r="C26" s="20" t="n">
        <f aca="false">C25+C20</f>
        <v>222063.9979936</v>
      </c>
      <c r="D26" s="20" t="n">
        <f aca="false">D25+D20</f>
        <v>433048.1833344</v>
      </c>
      <c r="E26" s="20" t="n">
        <f aca="false">E25+E20</f>
        <v>716868.2921792</v>
      </c>
    </row>
    <row r="27" customFormat="false" ht="15" hidden="false" customHeight="false" outlineLevel="0" collapsed="false">
      <c r="B27" s="8" t="s">
        <v>140</v>
      </c>
      <c r="C27" s="24" t="n">
        <f aca="false">C26/C24</f>
        <v>3.21831881150145</v>
      </c>
      <c r="D27" s="25" t="n">
        <f aca="false">D26/D24</f>
        <v>6.27606062803478</v>
      </c>
      <c r="E27" s="26" t="n">
        <f aca="false">E26/E24</f>
        <v>10.389395538829</v>
      </c>
    </row>
    <row r="28" customFormat="false" ht="15" hidden="false" customHeight="false" outlineLevel="0" collapsed="false">
      <c r="B28" s="8" t="s">
        <v>141</v>
      </c>
      <c r="C28" s="27" t="n">
        <f aca="false">(C26/C24)^(1/5)-1</f>
        <v>0.263356190486838</v>
      </c>
      <c r="D28" s="27" t="n">
        <f aca="false">(D26/D24)^(1/5)-1</f>
        <v>0.44390102954371</v>
      </c>
      <c r="E28" s="27" t="n">
        <f aca="false">(E26/E24)^(1/5)-1</f>
        <v>0.597048319578413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7.35" hidden="false" customHeight="false" outlineLevel="0" collapsed="false">
      <c r="B2" s="1" t="s">
        <v>142</v>
      </c>
      <c r="C2" s="1"/>
      <c r="D2" s="1"/>
      <c r="E2" s="1"/>
      <c r="F2" s="1"/>
      <c r="G2" s="1"/>
    </row>
    <row r="4" customFormat="false" ht="15" hidden="false" customHeight="false" outlineLevel="0" collapsed="false">
      <c r="A4" s="4"/>
      <c r="B4" s="4" t="s">
        <v>99</v>
      </c>
      <c r="C4" s="4" t="s">
        <v>143</v>
      </c>
      <c r="D4" s="4" t="s">
        <v>144</v>
      </c>
      <c r="E4" s="4" t="s">
        <v>145</v>
      </c>
      <c r="F4" s="4"/>
      <c r="G4" s="4"/>
    </row>
    <row r="5" customFormat="false" ht="15" hidden="false" customHeight="false" outlineLevel="0" collapsed="false">
      <c r="B5" s="3" t="s">
        <v>146</v>
      </c>
      <c r="C5" s="3" t="s">
        <v>147</v>
      </c>
      <c r="D5" s="3" t="s">
        <v>148</v>
      </c>
      <c r="E5" s="3" t="s">
        <v>149</v>
      </c>
    </row>
    <row r="6" customFormat="false" ht="15" hidden="false" customHeight="false" outlineLevel="0" collapsed="false">
      <c r="B6" s="3" t="s">
        <v>102</v>
      </c>
      <c r="C6" s="7" t="n">
        <v>18900</v>
      </c>
      <c r="D6" s="7" t="n">
        <v>10700</v>
      </c>
      <c r="E6" s="7" t="n">
        <v>69000</v>
      </c>
    </row>
    <row r="7" customFormat="false" ht="15" hidden="false" customHeight="false" outlineLevel="0" collapsed="false">
      <c r="B7" s="3" t="s">
        <v>150</v>
      </c>
      <c r="C7" s="7" t="n">
        <v>4235</v>
      </c>
      <c r="D7" s="7" t="n">
        <v>2490</v>
      </c>
      <c r="E7" s="7" t="n">
        <v>13350</v>
      </c>
    </row>
    <row r="8" customFormat="false" ht="15" hidden="false" customHeight="false" outlineLevel="0" collapsed="false">
      <c r="B8" s="3" t="s">
        <v>109</v>
      </c>
      <c r="C8" s="13" t="n">
        <f aca="false">C6/C7</f>
        <v>4.46280991735537</v>
      </c>
      <c r="D8" s="13" t="n">
        <f aca="false">D6/D7</f>
        <v>4.29718875502008</v>
      </c>
      <c r="E8" s="13" t="n">
        <f aca="false">E6/E7</f>
        <v>5.1685393258427</v>
      </c>
    </row>
    <row r="9" customFormat="false" ht="15" hidden="false" customHeight="false" outlineLevel="0" collapsed="false">
      <c r="B9" s="3" t="s">
        <v>151</v>
      </c>
      <c r="C9" s="28" t="n">
        <v>0.25</v>
      </c>
      <c r="D9" s="28" t="n">
        <v>0.18</v>
      </c>
      <c r="E9" s="28" t="n">
        <v>0.21</v>
      </c>
    </row>
    <row r="10" customFormat="false" ht="15" hidden="false" customHeight="false" outlineLevel="0" collapsed="false">
      <c r="B10" s="3" t="s">
        <v>152</v>
      </c>
      <c r="C10" s="28" t="n">
        <v>0.65</v>
      </c>
      <c r="D10" s="28" t="n">
        <v>0.65</v>
      </c>
      <c r="E10" s="28" t="n">
        <v>0.77</v>
      </c>
    </row>
    <row r="11" customFormat="false" ht="15" hidden="false" customHeight="false" outlineLevel="0" collapsed="false">
      <c r="B11" s="3" t="s">
        <v>115</v>
      </c>
      <c r="C11" s="22" t="n">
        <f aca="false">(C10-C9)*10000</f>
        <v>4000</v>
      </c>
      <c r="D11" s="22" t="n">
        <f aca="false">(D10-D9)*10000</f>
        <v>4700</v>
      </c>
      <c r="E11" s="22" t="n">
        <f aca="false">(E10-E9)*10000</f>
        <v>5600</v>
      </c>
    </row>
    <row r="12" customFormat="false" ht="15" hidden="false" customHeight="false" outlineLevel="0" collapsed="false">
      <c r="B12" s="3" t="s">
        <v>153</v>
      </c>
      <c r="C12" s="3" t="s">
        <v>154</v>
      </c>
      <c r="D12" s="3" t="s">
        <v>154</v>
      </c>
      <c r="E12" s="3" t="s">
        <v>155</v>
      </c>
    </row>
    <row r="13" customFormat="false" ht="15" hidden="false" customHeight="false" outlineLevel="0" collapsed="false">
      <c r="B13" s="3" t="s">
        <v>156</v>
      </c>
      <c r="C13" s="3" t="s">
        <v>157</v>
      </c>
      <c r="D13" s="3" t="s">
        <v>157</v>
      </c>
      <c r="E13" s="3" t="s">
        <v>158</v>
      </c>
    </row>
    <row r="14" customFormat="false" ht="15" hidden="false" customHeight="false" outlineLevel="0" collapsed="false">
      <c r="B14" s="3" t="s">
        <v>159</v>
      </c>
      <c r="C14" s="3" t="s">
        <v>160</v>
      </c>
      <c r="D14" s="3" t="s">
        <v>160</v>
      </c>
      <c r="E14" s="3" t="s">
        <v>160</v>
      </c>
    </row>
    <row r="15" customFormat="false" ht="15" hidden="false" customHeight="false" outlineLevel="0" collapsed="false">
      <c r="B15" s="3" t="s">
        <v>161</v>
      </c>
      <c r="C15" s="3" t="s">
        <v>160</v>
      </c>
      <c r="D15" s="3" t="s">
        <v>160</v>
      </c>
      <c r="E15" s="3" t="s">
        <v>162</v>
      </c>
    </row>
    <row r="16" customFormat="false" ht="15" hidden="false" customHeight="false" outlineLevel="0" collapsed="false">
      <c r="B16" s="3" t="s">
        <v>163</v>
      </c>
      <c r="C16" s="3" t="s">
        <v>164</v>
      </c>
      <c r="D16" s="3" t="s">
        <v>164</v>
      </c>
      <c r="E16" s="3" t="s">
        <v>164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2026-03-24T00:28:25Z</dcterms:created>
  <dc:creator>openpyxl</dc:creator>
  <dc:description/>
  <dc:language>en-US</dc:language>
  <cp:lastModifiedBy/>
  <dcterms:modified xsi:type="dcterms:W3CDTF">2026-03-24T00:28:25Z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